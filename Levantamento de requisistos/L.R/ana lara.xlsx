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<sst xmlns="http://schemas.openxmlformats.org/spreadsheetml/2006/main" count="25" uniqueCount="22">
  <si>
    <t>Porc. de lucro</t>
  </si>
  <si>
    <t xml:space="preserve">Tabelas de preço da papelaria bom aluno </t>
  </si>
  <si>
    <t>Cotação do Dólar</t>
  </si>
  <si>
    <t>Reais(R$)</t>
  </si>
  <si>
    <t>Dolares(U$)</t>
  </si>
  <si>
    <t>Produto</t>
  </si>
  <si>
    <t>Estoque</t>
  </si>
  <si>
    <t>Custo</t>
  </si>
  <si>
    <t>Venda</t>
  </si>
  <si>
    <t>Total</t>
  </si>
  <si>
    <t>Borracha</t>
  </si>
  <si>
    <t>Caderno 100 folhas</t>
  </si>
  <si>
    <t>Caderno 200 folhas</t>
  </si>
  <si>
    <t>Caneta azul</t>
  </si>
  <si>
    <t>Caneta vermelha</t>
  </si>
  <si>
    <t>Lapiseira</t>
  </si>
  <si>
    <t>Régua 15cm</t>
  </si>
  <si>
    <t>Régua 30cm</t>
  </si>
  <si>
    <t>Giz de Cera</t>
  </si>
  <si>
    <t>Cola</t>
  </si>
  <si>
    <t>Compasso</t>
  </si>
  <si>
    <t>Totais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</si>
</sst>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164" xfId="0" applyFont="1" applyNumberFormat="1"/>
    <xf borderId="0" fillId="3" fontId="1" numFmtId="164" xfId="0" applyAlignment="1" applyFont="1" applyNumberFormat="1">
      <alignment readingOrder="0"/>
    </xf>
    <xf borderId="0" fillId="3" fontId="1" numFmtId="164" xfId="0" applyFont="1" applyNumberFormat="1"/>
    <xf borderId="0" fillId="4" fontId="2" numFmtId="0" xfId="0" applyAlignment="1" applyFill="1" applyFont="1">
      <alignment readingOrder="0"/>
    </xf>
    <xf borderId="0" fillId="4" fontId="1" numFmtId="0" xfId="0" applyFont="1"/>
    <xf borderId="0" fillId="4" fontId="1" numFmtId="164" xfId="0" applyFont="1" applyNumberFormat="1"/>
    <xf borderId="0" fillId="5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7" max="7" width="29.63"/>
  </cols>
  <sheetData>
    <row r="1">
      <c r="A1" s="1" t="s">
        <v>0</v>
      </c>
      <c r="B1" s="2">
        <v>0.125</v>
      </c>
      <c r="C1" s="3" t="s">
        <v>1</v>
      </c>
    </row>
    <row r="2">
      <c r="A2" s="1" t="s">
        <v>2</v>
      </c>
    </row>
    <row r="3">
      <c r="C3" s="4" t="s">
        <v>3</v>
      </c>
      <c r="F3" s="5" t="s">
        <v>4</v>
      </c>
    </row>
    <row r="4">
      <c r="A4" s="6" t="s">
        <v>5</v>
      </c>
      <c r="B4" s="6" t="s">
        <v>6</v>
      </c>
      <c r="C4" s="7" t="s">
        <v>7</v>
      </c>
      <c r="D4" s="7" t="s">
        <v>8</v>
      </c>
      <c r="E4" s="7" t="s">
        <v>9</v>
      </c>
      <c r="F4" s="8" t="s">
        <v>7</v>
      </c>
      <c r="G4" s="8" t="s">
        <v>8</v>
      </c>
      <c r="H4" s="8" t="s">
        <v>9</v>
      </c>
    </row>
    <row r="5">
      <c r="A5" s="1" t="s">
        <v>10</v>
      </c>
      <c r="B5" s="1">
        <v>500.0</v>
      </c>
      <c r="C5" s="9">
        <v>0.5</v>
      </c>
      <c r="D5" s="9">
        <v>1.0</v>
      </c>
      <c r="E5" s="10">
        <f t="shared" ref="E5:E16" si="1">B5*D5</f>
        <v>500</v>
      </c>
      <c r="F5" s="11">
        <f t="shared" ref="F5:F14" si="2">C5</f>
        <v>0.5</v>
      </c>
      <c r="G5" s="11">
        <f>F5*(1+(B1))</f>
        <v>0.5625</v>
      </c>
      <c r="H5" s="12">
        <f t="shared" ref="H5:H15" si="3">G5*B5</f>
        <v>281.25</v>
      </c>
    </row>
    <row r="6">
      <c r="A6" s="1" t="s">
        <v>11</v>
      </c>
      <c r="B6" s="1">
        <v>200.0</v>
      </c>
      <c r="C6" s="9">
        <v>8.0</v>
      </c>
      <c r="D6" s="9">
        <v>20.0</v>
      </c>
      <c r="E6" s="10">
        <f t="shared" si="1"/>
        <v>4000</v>
      </c>
      <c r="F6" s="11">
        <f t="shared" si="2"/>
        <v>8</v>
      </c>
      <c r="G6" s="11">
        <f>F6*(1+(B1))</f>
        <v>9</v>
      </c>
      <c r="H6" s="12">
        <f t="shared" si="3"/>
        <v>1800</v>
      </c>
    </row>
    <row r="7">
      <c r="A7" s="1" t="s">
        <v>12</v>
      </c>
      <c r="B7" s="1">
        <v>300.0</v>
      </c>
      <c r="C7" s="9">
        <v>15.0</v>
      </c>
      <c r="D7" s="9">
        <v>30.0</v>
      </c>
      <c r="E7" s="10">
        <f t="shared" si="1"/>
        <v>9000</v>
      </c>
      <c r="F7" s="11">
        <f t="shared" si="2"/>
        <v>15</v>
      </c>
      <c r="G7" s="11">
        <f>F7*(1+(B1))</f>
        <v>16.875</v>
      </c>
      <c r="H7" s="12">
        <f t="shared" si="3"/>
        <v>5062.5</v>
      </c>
    </row>
    <row r="8">
      <c r="A8" s="1" t="s">
        <v>13</v>
      </c>
      <c r="B8" s="1">
        <v>1000.0</v>
      </c>
      <c r="C8" s="9">
        <v>1.2</v>
      </c>
      <c r="D8" s="9">
        <v>3.0</v>
      </c>
      <c r="E8" s="10">
        <f t="shared" si="1"/>
        <v>3000</v>
      </c>
      <c r="F8" s="11">
        <f t="shared" si="2"/>
        <v>1.2</v>
      </c>
      <c r="G8" s="11">
        <f>F8*(1+(B1))</f>
        <v>1.35</v>
      </c>
      <c r="H8" s="12">
        <f t="shared" si="3"/>
        <v>1350</v>
      </c>
    </row>
    <row r="9">
      <c r="A9" s="1" t="s">
        <v>14</v>
      </c>
      <c r="B9" s="1">
        <v>900.0</v>
      </c>
      <c r="C9" s="9">
        <v>0.7</v>
      </c>
      <c r="D9" s="9">
        <v>3.5</v>
      </c>
      <c r="E9" s="10">
        <f t="shared" si="1"/>
        <v>3150</v>
      </c>
      <c r="F9" s="11">
        <f t="shared" si="2"/>
        <v>0.7</v>
      </c>
      <c r="G9" s="11">
        <f>F9*(1+(B1))</f>
        <v>0.7875</v>
      </c>
      <c r="H9" s="12">
        <f t="shared" si="3"/>
        <v>708.75</v>
      </c>
    </row>
    <row r="10">
      <c r="A10" s="1" t="s">
        <v>15</v>
      </c>
      <c r="B10" s="1">
        <v>200.0</v>
      </c>
      <c r="C10" s="9">
        <v>2.5</v>
      </c>
      <c r="D10" s="9">
        <v>6.0</v>
      </c>
      <c r="E10" s="10">
        <f t="shared" si="1"/>
        <v>1200</v>
      </c>
      <c r="F10" s="11">
        <f t="shared" si="2"/>
        <v>2.5</v>
      </c>
      <c r="G10" s="11">
        <f>F10*(1+(B1))</f>
        <v>2.8125</v>
      </c>
      <c r="H10" s="12">
        <f t="shared" si="3"/>
        <v>562.5</v>
      </c>
    </row>
    <row r="11">
      <c r="A11" s="1" t="s">
        <v>16</v>
      </c>
      <c r="B11" s="1">
        <v>500.0</v>
      </c>
      <c r="C11" s="9">
        <v>0.8</v>
      </c>
      <c r="D11" s="9">
        <v>4.5</v>
      </c>
      <c r="E11" s="10">
        <f t="shared" si="1"/>
        <v>2250</v>
      </c>
      <c r="F11" s="11">
        <f t="shared" si="2"/>
        <v>0.8</v>
      </c>
      <c r="G11" s="11">
        <f>F11*(1+(B1))</f>
        <v>0.9</v>
      </c>
      <c r="H11" s="12">
        <f t="shared" si="3"/>
        <v>450</v>
      </c>
    </row>
    <row r="12">
      <c r="A12" s="1" t="s">
        <v>17</v>
      </c>
      <c r="B12" s="1">
        <v>500.0</v>
      </c>
      <c r="C12" s="9">
        <v>1.5</v>
      </c>
      <c r="D12" s="9">
        <v>6.5</v>
      </c>
      <c r="E12" s="10">
        <f t="shared" si="1"/>
        <v>3250</v>
      </c>
      <c r="F12" s="11">
        <f t="shared" si="2"/>
        <v>1.5</v>
      </c>
      <c r="G12" s="11">
        <f>F12*(1+(B1))</f>
        <v>1.6875</v>
      </c>
      <c r="H12" s="12">
        <f t="shared" si="3"/>
        <v>843.75</v>
      </c>
    </row>
    <row r="13">
      <c r="A13" s="1" t="s">
        <v>18</v>
      </c>
      <c r="B13" s="1">
        <v>50.0</v>
      </c>
      <c r="C13" s="9">
        <v>3.0</v>
      </c>
      <c r="D13" s="9">
        <v>10.0</v>
      </c>
      <c r="E13" s="10">
        <f t="shared" si="1"/>
        <v>500</v>
      </c>
      <c r="F13" s="11">
        <f t="shared" si="2"/>
        <v>3</v>
      </c>
      <c r="G13" s="11">
        <f>F13*(1+(B1))</f>
        <v>3.375</v>
      </c>
      <c r="H13" s="12">
        <f t="shared" si="3"/>
        <v>168.75</v>
      </c>
    </row>
    <row r="14">
      <c r="A14" s="1" t="s">
        <v>19</v>
      </c>
      <c r="B14" s="1">
        <v>100.0</v>
      </c>
      <c r="C14" s="9">
        <v>3.5</v>
      </c>
      <c r="D14" s="9">
        <v>7.5</v>
      </c>
      <c r="E14" s="10">
        <f t="shared" si="1"/>
        <v>750</v>
      </c>
      <c r="F14" s="11">
        <f t="shared" si="2"/>
        <v>3.5</v>
      </c>
      <c r="G14" s="11">
        <f>F14*(1+(B1))</f>
        <v>3.9375</v>
      </c>
      <c r="H14" s="12">
        <f t="shared" si="3"/>
        <v>393.75</v>
      </c>
    </row>
    <row r="15">
      <c r="A15" s="1" t="s">
        <v>20</v>
      </c>
      <c r="B15" s="1">
        <v>100.0</v>
      </c>
      <c r="C15" s="9">
        <v>5.0</v>
      </c>
      <c r="D15" s="9">
        <v>17.0</v>
      </c>
      <c r="E15" s="10">
        <f t="shared" si="1"/>
        <v>1700</v>
      </c>
      <c r="F15" s="11">
        <v>5.0</v>
      </c>
      <c r="G15" s="11">
        <f>F15*(1+(B1))</f>
        <v>5.625</v>
      </c>
      <c r="H15" s="12">
        <f t="shared" si="3"/>
        <v>562.5</v>
      </c>
    </row>
    <row r="16">
      <c r="A16" s="13" t="s">
        <v>21</v>
      </c>
      <c r="B16" s="14">
        <f>B5+B15</f>
        <v>600</v>
      </c>
      <c r="C16" s="14">
        <f>SUM(C1:C15)</f>
        <v>41.7</v>
      </c>
      <c r="D16" s="15">
        <f>D5+D15</f>
        <v>18</v>
      </c>
      <c r="E16" s="10">
        <f t="shared" si="1"/>
        <v>10800</v>
      </c>
      <c r="F16" s="14"/>
      <c r="G16" s="11">
        <f>F16*(1+B12)</f>
        <v>0</v>
      </c>
      <c r="H16" s="12">
        <f>B16*G16</f>
        <v>0</v>
      </c>
    </row>
    <row r="17">
      <c r="C17" s="16"/>
      <c r="D17" s="16"/>
      <c r="E17" s="16"/>
      <c r="F17" s="16"/>
      <c r="G17" s="16"/>
      <c r="H17" s="16"/>
    </row>
    <row r="18">
      <c r="C18" s="16"/>
      <c r="D18" s="16"/>
      <c r="E18" s="16"/>
      <c r="F18" s="16"/>
      <c r="G18" s="16"/>
      <c r="H18" s="16"/>
    </row>
    <row r="19">
      <c r="C19" s="16"/>
      <c r="D19" s="16"/>
      <c r="E19" s="16"/>
      <c r="F19" s="16"/>
      <c r="G19" s="16"/>
      <c r="H19" s="16"/>
    </row>
    <row r="20">
      <c r="C20" s="16"/>
      <c r="D20" s="16"/>
      <c r="E20" s="16"/>
      <c r="F20" s="16"/>
      <c r="G20" s="16"/>
      <c r="H20" s="16"/>
    </row>
    <row r="21">
      <c r="C21" s="16"/>
      <c r="D21" s="16"/>
      <c r="E21" s="16"/>
      <c r="F21" s="16"/>
      <c r="G21" s="16"/>
      <c r="H21" s="16"/>
    </row>
    <row r="22">
      <c r="C22" s="16"/>
      <c r="D22" s="16"/>
      <c r="E22" s="16"/>
      <c r="F22" s="16"/>
      <c r="G22" s="16"/>
      <c r="H22" s="16"/>
    </row>
    <row r="23">
      <c r="C23" s="16"/>
      <c r="D23" s="16"/>
      <c r="E23" s="16"/>
      <c r="F23" s="16"/>
      <c r="G23" s="16"/>
      <c r="H23" s="16"/>
    </row>
    <row r="24">
      <c r="C24" s="16"/>
      <c r="D24" s="16"/>
      <c r="E24" s="16"/>
      <c r="F24" s="16"/>
      <c r="G24" s="16"/>
      <c r="H24" s="16"/>
    </row>
    <row r="25">
      <c r="C25" s="16"/>
      <c r="D25" s="16"/>
      <c r="E25" s="16"/>
      <c r="F25" s="16"/>
      <c r="G25" s="16"/>
      <c r="H25" s="16"/>
    </row>
  </sheetData>
  <mergeCells count="4">
    <mergeCell ref="A3:B3"/>
    <mergeCell ref="C3:E3"/>
    <mergeCell ref="F3:H3"/>
    <mergeCell ref="C1:H2"/>
  </mergeCells>
  <drawing r:id="rId1"/>
</worksheet>
</file>